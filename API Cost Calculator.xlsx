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i\Documents\"/>
    </mc:Choice>
  </mc:AlternateContent>
  <xr:revisionPtr revIDLastSave="0" documentId="13_ncr:1_{DB0116B8-7B5E-434B-A3FF-79C07848038C}" xr6:coauthVersionLast="47" xr6:coauthVersionMax="47" xr10:uidLastSave="{00000000-0000-0000-0000-000000000000}"/>
  <bookViews>
    <workbookView xWindow="-110" yWindow="-110" windowWidth="19420" windowHeight="11500" xr2:uid="{246B3710-82D4-4E0C-91FF-DFF06D6F2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" l="1"/>
  <c r="C29" i="1" s="1"/>
  <c r="C21" i="1"/>
  <c r="C26" i="1"/>
  <c r="C25" i="1"/>
  <c r="C24" i="1"/>
  <c r="C23" i="1"/>
  <c r="C22" i="1"/>
  <c r="J3" i="1"/>
  <c r="K3" i="1"/>
  <c r="L3" i="1"/>
  <c r="M3" i="1"/>
  <c r="I3" i="1"/>
  <c r="H9" i="1" s="1"/>
  <c r="F8" i="1"/>
  <c r="F9" i="1"/>
  <c r="L8" i="1"/>
  <c r="N8" i="1" s="1"/>
  <c r="C8" i="1"/>
  <c r="F17" i="1"/>
  <c r="G17" i="1"/>
  <c r="G16" i="1"/>
  <c r="F16" i="1"/>
  <c r="B17" i="1"/>
  <c r="C17" i="1"/>
  <c r="C16" i="1"/>
  <c r="B16" i="1"/>
  <c r="N13" i="1"/>
  <c r="O13" i="1"/>
  <c r="O12" i="1"/>
  <c r="N12" i="1"/>
  <c r="J13" i="1"/>
  <c r="K13" i="1"/>
  <c r="F13" i="1"/>
  <c r="G13" i="1"/>
  <c r="B13" i="1"/>
  <c r="C13" i="1"/>
  <c r="D9" i="1"/>
  <c r="B9" i="1"/>
  <c r="P9" i="1"/>
  <c r="Q9" i="1"/>
  <c r="I9" i="1"/>
  <c r="G9" i="1"/>
  <c r="C9" i="1"/>
  <c r="K12" i="1"/>
  <c r="J12" i="1"/>
  <c r="G12" i="1"/>
  <c r="F12" i="1"/>
  <c r="C12" i="1"/>
  <c r="B12" i="1"/>
  <c r="I8" i="1"/>
  <c r="G8" i="1"/>
  <c r="Q8" i="1"/>
  <c r="P8" i="1"/>
  <c r="B8" i="1"/>
  <c r="D8" i="1"/>
  <c r="H8" i="1" l="1"/>
  <c r="K8" i="1" s="1"/>
  <c r="M8" i="1" s="1"/>
  <c r="K9" i="1"/>
  <c r="M9" i="1" s="1"/>
  <c r="L9" i="1"/>
  <c r="N9" i="1" s="1"/>
  <c r="D16" i="1" l="1"/>
  <c r="H12" i="1"/>
  <c r="L12" i="1"/>
  <c r="R8" i="1"/>
  <c r="P12" i="1"/>
  <c r="H16" i="1"/>
  <c r="D12" i="1"/>
  <c r="P13" i="1"/>
  <c r="L13" i="1"/>
  <c r="D13" i="1"/>
  <c r="R9" i="1"/>
  <c r="H13" i="1"/>
  <c r="D17" i="1"/>
  <c r="H17" i="1"/>
</calcChain>
</file>

<file path=xl/sharedStrings.xml><?xml version="1.0" encoding="utf-8"?>
<sst xmlns="http://schemas.openxmlformats.org/spreadsheetml/2006/main" count="59" uniqueCount="53">
  <si>
    <t>Document</t>
  </si>
  <si>
    <t>Number of Characters</t>
  </si>
  <si>
    <t>Economic Summarizer</t>
  </si>
  <si>
    <t xml:space="preserve">Social Summarizer </t>
  </si>
  <si>
    <t>Immigration Summarizer</t>
  </si>
  <si>
    <t>EU summarizer</t>
  </si>
  <si>
    <t>Environment Summarizer</t>
  </si>
  <si>
    <t>Decentralization Summarizer</t>
  </si>
  <si>
    <t>Economic Dimension (0-shot) Prompt</t>
  </si>
  <si>
    <t>Social Dimension (0-shot) Prompt</t>
  </si>
  <si>
    <t>Immigration Dimension (0-shot) Prompt</t>
  </si>
  <si>
    <t>EU Dimension (0-shot) Prompt</t>
  </si>
  <si>
    <t>Environment Dimension (0-shot) Prompt</t>
  </si>
  <si>
    <t>Decentralizatoin Dimension (0-shot) Prompt</t>
  </si>
  <si>
    <t>Total Characters 0-Shot Prompt</t>
  </si>
  <si>
    <t>Total Characters Summarizers</t>
  </si>
  <si>
    <t>Total Characters Manifestos</t>
  </si>
  <si>
    <t>Number of Models</t>
  </si>
  <si>
    <t>Output Summarizer</t>
  </si>
  <si>
    <t>Total Input Characters/Model</t>
  </si>
  <si>
    <t>Total Output Characters/Model</t>
  </si>
  <si>
    <t>Total Input Tokens/Model</t>
  </si>
  <si>
    <t>Total Output Tokens/Model</t>
  </si>
  <si>
    <t>Price/Input Token (Claude Opus 4.8)</t>
  </si>
  <si>
    <t>Price/Output Token (Claude Opus 4.8)</t>
  </si>
  <si>
    <t>Total Price</t>
  </si>
  <si>
    <t>Output Dimensions (0-shot)</t>
  </si>
  <si>
    <t>Total Characters 1-Shot (estimate)</t>
  </si>
  <si>
    <t>Output 1-shot Estimate</t>
  </si>
  <si>
    <t>Price/Input Token (Claude Sonnet 4.8)</t>
  </si>
  <si>
    <t>Price/Input Token (GPT 5.4)</t>
  </si>
  <si>
    <t>Price/Output Token (GPT 4.5)</t>
  </si>
  <si>
    <t>Price/Input Token (GPT 4.1)</t>
  </si>
  <si>
    <t>Price/Output Token (GPT 4.1)</t>
  </si>
  <si>
    <t>6-Models</t>
  </si>
  <si>
    <t>5-Models</t>
  </si>
  <si>
    <t>Price/Input Token (DeepSeek 3.2)</t>
  </si>
  <si>
    <t>Price/Output Token (DeepSeek 3.2)</t>
  </si>
  <si>
    <t>Price/Input Token (Gemini 3.5 Flash )</t>
  </si>
  <si>
    <t>Price/Output Token (Gemini 3.5 Flash)</t>
  </si>
  <si>
    <t>Price/Input Token (Grok 4.3)</t>
  </si>
  <si>
    <t>Price/Output Token (Grook 4.3)</t>
  </si>
  <si>
    <t>Model</t>
  </si>
  <si>
    <t>Cost</t>
  </si>
  <si>
    <t>Claude Opus 4.8</t>
  </si>
  <si>
    <t>GPT 4.5</t>
  </si>
  <si>
    <t>GPT 4.1</t>
  </si>
  <si>
    <t>DeepSeek 3.2</t>
  </si>
  <si>
    <t>Gemini 3.5 Flash</t>
  </si>
  <si>
    <t>Grok 4.3</t>
  </si>
  <si>
    <t>Price/Output Token (Claude Sonnet 4.8)</t>
  </si>
  <si>
    <t>OpenRouter Fee</t>
  </si>
  <si>
    <t xml:space="preserve">Total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</si>
</sst>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2491-0B3D-42B4-A4F2-DF98CEF558FF}">
  <dimension ref="A1:R29"/>
  <sheetViews>
    <sheetView tabSelected="1" topLeftCell="A9" zoomScale="81" zoomScaleNormal="135" workbookViewId="0">
      <selection activeCell="J26" sqref="J26"/>
    </sheetView>
  </sheetViews>
  <sheetFormatPr defaultRowHeight="14.5" x14ac:dyDescent="0.35"/>
  <cols>
    <col min="2" max="2" width="14.36328125" customWidth="1"/>
    <col min="3" max="3" width="12.54296875" customWidth="1"/>
    <col min="6" max="6" width="10.81640625" bestFit="1" customWidth="1"/>
    <col min="7" max="7" width="9.81640625" bestFit="1" customWidth="1"/>
    <col min="11" max="11" width="9.81640625" bestFit="1" customWidth="1"/>
    <col min="13" max="13" width="10.81640625" bestFit="1" customWidth="1"/>
    <col min="14" max="15" width="9.81640625" bestFit="1" customWidth="1"/>
  </cols>
  <sheetData>
    <row r="1" spans="1:18" s="1" customFormat="1" ht="72.5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8" x14ac:dyDescent="0.35">
      <c r="A2" t="s">
        <v>1</v>
      </c>
      <c r="B2">
        <v>353</v>
      </c>
      <c r="C2">
        <v>386</v>
      </c>
      <c r="D2">
        <v>320</v>
      </c>
      <c r="E2">
        <v>324</v>
      </c>
      <c r="F2">
        <v>380</v>
      </c>
      <c r="G2">
        <v>367</v>
      </c>
      <c r="H2">
        <v>3101</v>
      </c>
      <c r="I2">
        <v>3896</v>
      </c>
      <c r="J2">
        <v>3440</v>
      </c>
      <c r="K2">
        <v>3621</v>
      </c>
      <c r="L2">
        <v>3639</v>
      </c>
      <c r="M2">
        <v>3773</v>
      </c>
    </row>
    <row r="3" spans="1:18" x14ac:dyDescent="0.35">
      <c r="I3">
        <f>I2+1700</f>
        <v>5596</v>
      </c>
      <c r="J3">
        <f t="shared" ref="J3:M3" si="0">J2+1700</f>
        <v>5140</v>
      </c>
      <c r="K3">
        <f t="shared" si="0"/>
        <v>5321</v>
      </c>
      <c r="L3">
        <f t="shared" si="0"/>
        <v>5339</v>
      </c>
      <c r="M3">
        <f t="shared" si="0"/>
        <v>5473</v>
      </c>
    </row>
    <row r="7" spans="1:18" s="1" customFormat="1" ht="72.5" x14ac:dyDescent="0.35">
      <c r="B7" s="1" t="s">
        <v>15</v>
      </c>
      <c r="C7" s="1" t="s">
        <v>16</v>
      </c>
      <c r="D7" s="1" t="s">
        <v>14</v>
      </c>
      <c r="E7" s="1" t="s">
        <v>17</v>
      </c>
      <c r="F7" s="1" t="s">
        <v>18</v>
      </c>
      <c r="G7" s="1" t="s">
        <v>26</v>
      </c>
      <c r="H7" s="1" t="s">
        <v>27</v>
      </c>
      <c r="I7" s="1" t="s">
        <v>28</v>
      </c>
      <c r="K7" s="1" t="s">
        <v>19</v>
      </c>
      <c r="L7" s="1" t="s">
        <v>20</v>
      </c>
      <c r="M7" s="1" t="s">
        <v>21</v>
      </c>
      <c r="N7" s="1" t="s">
        <v>22</v>
      </c>
      <c r="P7" s="1" t="s">
        <v>23</v>
      </c>
      <c r="Q7" s="1" t="s">
        <v>24</v>
      </c>
      <c r="R7" s="1" t="s">
        <v>25</v>
      </c>
    </row>
    <row r="8" spans="1:18" x14ac:dyDescent="0.35">
      <c r="A8" t="s">
        <v>34</v>
      </c>
      <c r="B8">
        <f>SUM(B2:G2)</f>
        <v>2130</v>
      </c>
      <c r="C8">
        <f>186977*235</f>
        <v>43939595</v>
      </c>
      <c r="D8">
        <f>SUM(H2:M2)</f>
        <v>21470</v>
      </c>
      <c r="E8">
        <v>6</v>
      </c>
      <c r="F8">
        <f>550*235*6</f>
        <v>775500</v>
      </c>
      <c r="G8">
        <f>6*235*E8*3</f>
        <v>25380</v>
      </c>
      <c r="H8">
        <f>SUM(I3:M3)</f>
        <v>26869</v>
      </c>
      <c r="I8">
        <f>6*235*E8*3</f>
        <v>25380</v>
      </c>
      <c r="K8">
        <f>SUM(B8+6*C8+D8*E8+H8*E8)</f>
        <v>263929734</v>
      </c>
      <c r="L8">
        <f>SUM(F8+G8+I8)</f>
        <v>826260</v>
      </c>
      <c r="M8">
        <f>K8/4</f>
        <v>65982433.5</v>
      </c>
      <c r="N8">
        <f>L8/4</f>
        <v>206565</v>
      </c>
      <c r="P8">
        <f>5/1000000</f>
        <v>5.0000000000000004E-6</v>
      </c>
      <c r="Q8">
        <f>25/1000000</f>
        <v>2.5000000000000001E-5</v>
      </c>
      <c r="R8">
        <f>P8*M8+Q8*N8</f>
        <v>335.07629250000002</v>
      </c>
    </row>
    <row r="9" spans="1:18" x14ac:dyDescent="0.35">
      <c r="A9" t="s">
        <v>35</v>
      </c>
      <c r="B9">
        <f>SUM(B2:G2)</f>
        <v>2130</v>
      </c>
      <c r="C9">
        <f>186977*235</f>
        <v>43939595</v>
      </c>
      <c r="D9">
        <f>SUM(H2:M2)</f>
        <v>21470</v>
      </c>
      <c r="E9">
        <v>5</v>
      </c>
      <c r="F9">
        <f>550*235*6</f>
        <v>775500</v>
      </c>
      <c r="G9">
        <f>6*235*E9*3</f>
        <v>21150</v>
      </c>
      <c r="H9">
        <f>SUM(I3:M3)</f>
        <v>26869</v>
      </c>
      <c r="I9">
        <f>6*235*E9*3</f>
        <v>21150</v>
      </c>
      <c r="K9">
        <f>SUM(B9+6*C9+D9*E9+H9*E9)</f>
        <v>263881395</v>
      </c>
      <c r="L9">
        <f>SUM(F9+G9+I9)</f>
        <v>817800</v>
      </c>
      <c r="M9">
        <f>K9/4</f>
        <v>65970348.75</v>
      </c>
      <c r="N9">
        <f>L9/4</f>
        <v>204450</v>
      </c>
      <c r="P9">
        <f>5/1000000</f>
        <v>5.0000000000000004E-6</v>
      </c>
      <c r="Q9">
        <f>25/1000000</f>
        <v>2.5000000000000001E-5</v>
      </c>
      <c r="R9">
        <f>P9*$M$9+Q9*$N$9</f>
        <v>334.96299375000001</v>
      </c>
    </row>
    <row r="11" spans="1:18" ht="58" x14ac:dyDescent="0.35">
      <c r="B11" s="1" t="s">
        <v>29</v>
      </c>
      <c r="C11" s="1" t="s">
        <v>50</v>
      </c>
      <c r="D11" s="1" t="s">
        <v>25</v>
      </c>
      <c r="F11" s="1" t="s">
        <v>30</v>
      </c>
      <c r="G11" s="1" t="s">
        <v>31</v>
      </c>
      <c r="H11" s="1" t="s">
        <v>25</v>
      </c>
      <c r="J11" s="1" t="s">
        <v>32</v>
      </c>
      <c r="K11" s="1" t="s">
        <v>33</v>
      </c>
      <c r="L11" s="1" t="s">
        <v>25</v>
      </c>
      <c r="N11" s="1" t="s">
        <v>36</v>
      </c>
      <c r="O11" s="1" t="s">
        <v>37</v>
      </c>
      <c r="P11" s="1" t="s">
        <v>25</v>
      </c>
    </row>
    <row r="12" spans="1:18" x14ac:dyDescent="0.35">
      <c r="B12">
        <f>3/1000000</f>
        <v>3.0000000000000001E-6</v>
      </c>
      <c r="C12">
        <f>25/1000000</f>
        <v>2.5000000000000001E-5</v>
      </c>
      <c r="D12">
        <f>B12*$M$8+C12*$N$8</f>
        <v>203.11142550000002</v>
      </c>
      <c r="F12">
        <f>2.5/1000000</f>
        <v>2.5000000000000002E-6</v>
      </c>
      <c r="G12">
        <f>15/1000000</f>
        <v>1.5E-5</v>
      </c>
      <c r="H12">
        <f>F12*$M$8+G12*$N$8</f>
        <v>168.05455875000001</v>
      </c>
      <c r="J12">
        <f>2/1000000</f>
        <v>1.9999999999999999E-6</v>
      </c>
      <c r="K12">
        <f>8/1000000</f>
        <v>7.9999999999999996E-6</v>
      </c>
      <c r="L12">
        <f>J12*$M$8+K12*$N$8</f>
        <v>133.61738700000001</v>
      </c>
      <c r="N12">
        <f>0.2288/1000000</f>
        <v>2.2880000000000001E-7</v>
      </c>
      <c r="O12">
        <f>0.3432/1000000</f>
        <v>3.432E-7</v>
      </c>
      <c r="P12">
        <f>N12*$M$8+O12*$N$8</f>
        <v>15.1676738928</v>
      </c>
    </row>
    <row r="13" spans="1:18" x14ac:dyDescent="0.35">
      <c r="B13">
        <f>3/1000000</f>
        <v>3.0000000000000001E-6</v>
      </c>
      <c r="C13">
        <f>25/1000000</f>
        <v>2.5000000000000001E-5</v>
      </c>
      <c r="D13">
        <f>B13*$M$9+C13*$N$9</f>
        <v>203.02229625000001</v>
      </c>
      <c r="F13">
        <f>2.5/1000000</f>
        <v>2.5000000000000002E-6</v>
      </c>
      <c r="G13">
        <f>15/1000000</f>
        <v>1.5E-5</v>
      </c>
      <c r="H13">
        <f>F13*$M$9+G13*$N$9</f>
        <v>167.99262187500003</v>
      </c>
      <c r="J13">
        <f>2/1000000</f>
        <v>1.9999999999999999E-6</v>
      </c>
      <c r="K13">
        <f>8/1000000</f>
        <v>7.9999999999999996E-6</v>
      </c>
      <c r="L13">
        <f>J13*$M$9+K13*$N$9</f>
        <v>133.57629750000001</v>
      </c>
      <c r="N13">
        <f>0.2288/1000000</f>
        <v>2.2880000000000001E-7</v>
      </c>
      <c r="O13">
        <f>0.3432/1000000</f>
        <v>3.432E-7</v>
      </c>
      <c r="P13">
        <f>N13*$M$9+O13*$N$9</f>
        <v>15.164183034000001</v>
      </c>
    </row>
    <row r="15" spans="1:18" ht="58" x14ac:dyDescent="0.35">
      <c r="B15" s="1" t="s">
        <v>38</v>
      </c>
      <c r="C15" s="1" t="s">
        <v>39</v>
      </c>
      <c r="D15" s="1" t="s">
        <v>25</v>
      </c>
      <c r="F15" s="1" t="s">
        <v>40</v>
      </c>
      <c r="G15" s="1" t="s">
        <v>41</v>
      </c>
      <c r="H15" s="1" t="s">
        <v>25</v>
      </c>
      <c r="J15" s="1"/>
      <c r="K15" s="1"/>
      <c r="L15" s="1"/>
      <c r="N15" s="1"/>
      <c r="O15" s="1"/>
      <c r="P15" s="1"/>
    </row>
    <row r="16" spans="1:18" x14ac:dyDescent="0.35">
      <c r="B16">
        <f>1.5/1000000</f>
        <v>1.5E-6</v>
      </c>
      <c r="C16">
        <f>9/1000000</f>
        <v>9.0000000000000002E-6</v>
      </c>
      <c r="D16">
        <f>B16*$M$8+C16*$N$8</f>
        <v>100.83273525</v>
      </c>
      <c r="F16">
        <f>1.25/1000000</f>
        <v>1.2500000000000001E-6</v>
      </c>
      <c r="G16">
        <f>2.5/1000000</f>
        <v>2.5000000000000002E-6</v>
      </c>
      <c r="H16">
        <f>F16*$M$8+G16*$N$8</f>
        <v>82.994454375000004</v>
      </c>
    </row>
    <row r="17" spans="2:8" x14ac:dyDescent="0.35">
      <c r="B17">
        <f>1.5/1000000</f>
        <v>1.5E-6</v>
      </c>
      <c r="C17">
        <f>9/1000000</f>
        <v>9.0000000000000002E-6</v>
      </c>
      <c r="D17">
        <f>B17*$M$9+C17*$N$9</f>
        <v>100.795573125</v>
      </c>
      <c r="F17">
        <f>1.25/1000000</f>
        <v>1.2500000000000001E-6</v>
      </c>
      <c r="G17">
        <f>2.5/1000000</f>
        <v>2.5000000000000002E-6</v>
      </c>
      <c r="H17">
        <f>F17*$M$9+G17*$N$9</f>
        <v>82.974060937500013</v>
      </c>
    </row>
    <row r="20" spans="2:8" x14ac:dyDescent="0.35">
      <c r="B20" t="s">
        <v>42</v>
      </c>
      <c r="C20" t="s">
        <v>43</v>
      </c>
    </row>
    <row r="21" spans="2:8" x14ac:dyDescent="0.35">
      <c r="B21" t="s">
        <v>44</v>
      </c>
      <c r="C21">
        <f>D12</f>
        <v>203.11142550000002</v>
      </c>
    </row>
    <row r="22" spans="2:8" x14ac:dyDescent="0.35">
      <c r="B22" t="s">
        <v>45</v>
      </c>
      <c r="C22">
        <f>H12</f>
        <v>168.05455875000001</v>
      </c>
    </row>
    <row r="23" spans="2:8" x14ac:dyDescent="0.35">
      <c r="B23" t="s">
        <v>46</v>
      </c>
      <c r="C23">
        <f>L12</f>
        <v>133.61738700000001</v>
      </c>
    </row>
    <row r="24" spans="2:8" x14ac:dyDescent="0.35">
      <c r="B24" t="s">
        <v>47</v>
      </c>
      <c r="C24">
        <f>P12</f>
        <v>15.1676738928</v>
      </c>
    </row>
    <row r="25" spans="2:8" x14ac:dyDescent="0.35">
      <c r="B25" t="s">
        <v>48</v>
      </c>
      <c r="C25">
        <f>D16</f>
        <v>100.83273525</v>
      </c>
    </row>
    <row r="26" spans="2:8" x14ac:dyDescent="0.35">
      <c r="B26" t="s">
        <v>49</v>
      </c>
      <c r="C26">
        <f>H16</f>
        <v>82.994454375000004</v>
      </c>
    </row>
    <row r="28" spans="2:8" x14ac:dyDescent="0.35">
      <c r="B28" s="3" t="s">
        <v>51</v>
      </c>
      <c r="C28" s="3">
        <f>0.055*SUM(C21:C26)</f>
        <v>38.707802912229013</v>
      </c>
    </row>
    <row r="29" spans="2:8" x14ac:dyDescent="0.35">
      <c r="B29" s="2" t="s">
        <v>52</v>
      </c>
      <c r="C29" s="2">
        <f>SUM(C21:C28)</f>
        <v>742.4860376800292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CE480160D25B4D8F4A67ED2CB37FC9" ma:contentTypeVersion="1" ma:contentTypeDescription="Create a new document." ma:contentTypeScope="" ma:versionID="c36b58ebcde6a451deb43ce473a5cfa3">
  <xsd:schema xmlns:xsd="http://www.w3.org/2001/XMLSchema" xmlns:xs="http://www.w3.org/2001/XMLSchema" xmlns:p="http://schemas.microsoft.com/office/2006/metadata/properties" xmlns:ns3="b0f9aa7f-0d34-4520-8442-75bc474bbc18" targetNamespace="http://schemas.microsoft.com/office/2006/metadata/properties" ma:root="true" ma:fieldsID="be8d7db3e37054c1f98a5a5b38be1027" ns3:_="">
    <xsd:import namespace="b0f9aa7f-0d34-4520-8442-75bc474bbc1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9aa7f-0d34-4520-8442-75bc474bbc1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D06FBA-4C87-454C-B53E-A281C033F7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1D6CC2-F602-4641-9B84-63259EE33F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f9aa7f-0d34-4520-8442-75bc474bbc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008A38-6436-41AA-A880-EB73A1591DB2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b0f9aa7f-0d34-4520-8442-75bc474bbc18"/>
    <ds:schemaRef ds:uri="http://www.w3.org/XML/1998/namespace"/>
    <ds:schemaRef ds:uri="http://purl.org/dc/terms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Gold</dc:creator>
  <cp:lastModifiedBy>Benjamin Gold</cp:lastModifiedBy>
  <dcterms:created xsi:type="dcterms:W3CDTF">2026-06-05T19:45:58Z</dcterms:created>
  <dcterms:modified xsi:type="dcterms:W3CDTF">2026-06-07T18:00:02Z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0x0101005DCE480160D25B4D8F4A67ED2CB37FC9</vt:lpwstr>
  </property>
</Properties>
</file>